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0-Day Plan" sheetId="1" state="visible" r:id="rId3"/>
    <sheet name="Phase Summary" sheetId="2" state="visible" r:id="rId4"/>
    <sheet name="Progress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<sst xmlns="http://schemas.openxmlformats.org/spreadsheetml/2006/main" count="402" uniqueCount="218">
  <si>
    <t xml:space="preserve">Day</t>
  </si>
  <si>
    <t xml:space="preserve">Phase</t>
  </si>
  <si>
    <t xml:space="preserve">Depth</t>
  </si>
  <si>
    <t xml:space="preserve">Topic / Tasks</t>
  </si>
  <si>
    <t xml:space="preserve">Hours</t>
  </si>
  <si>
    <t xml:space="preserve">Status</t>
  </si>
  <si>
    <t xml:space="preserve">YouTube Resource</t>
  </si>
  <si>
    <t xml:space="preserve">Website Resource</t>
  </si>
  <si>
    <t xml:space="preserve">Day 0</t>
  </si>
  <si>
    <t xml:space="preserve">Concept</t>
  </si>
  <si>
    <t xml:space="preserve">OS basics, Linux vs Windows, Kernel vs Shell, Terminal vs Shell, CLI vs GUI, Distributions, File System Hierarchy, Users/Permissions, Process, Package Manager, Env Vars, SSH, Systemd (theory only, no terminal)</t>
  </si>
  <si>
    <t xml:space="preserve">Pending</t>
  </si>
  <si>
    <t xml:space="preserve">NetworkChuck - search: "Linux for beginners" / "How Linux Works"</t>
  </si>
  <si>
    <t xml:space="preserve">linuxjourney.com</t>
  </si>
  <si>
    <t xml:space="preserve">Phase 1: Linux Fundamentals</t>
  </si>
  <si>
    <t xml:space="preserve">MASTER</t>
  </si>
  <si>
    <t xml:space="preserve">1.1 Directory Structure (/etc,/var/log,/home,/usr,/bin &amp; /sbin,/proc,/tmp,/opt,/root — Hierarchy, Inodes, File Types) + 1.2 Basic Commands &amp; Link Management (pwd, ls -la/-lh/-lt, cd, mkdir -p, touch, cp -r, mv, rm -rf, cat, less, head, tail -f, nano, vim, ln/ln -s, find, xargs)</t>
  </si>
  <si>
    <t xml:space="preserve">NetworkChuck / tutoriaLinux - search: "Linux commands for beginners" + "find and xargs tutorial"</t>
  </si>
  <si>
    <t xml:space="preserve">1.3 Permissions &amp; Ownership — chmod, chown, chgrp, Octal Notation (755/644/600/400), Symbolic Notation (u+x/g-w/o=r), umask. DevOps Use: SSH key files ko 400 par set karna</t>
  </si>
  <si>
    <t xml:space="preserve">NetworkChuck - search: "Linux permissions chmod chown explained"</t>
  </si>
  <si>
    <t xml:space="preserve">overthewire.org/wargames (Bandit - hands-on practice)</t>
  </si>
  <si>
    <t xml:space="preserve">PRACTICAL</t>
  </si>
  <si>
    <t xml:space="preserve">1.4 Process Management — ps aux, top, htop, kill -9, pkill, background jobs (&amp;, jobs, bg, fg, nohup). Advanced Debugging: lsof (port/file usage), strace (system calls)</t>
  </si>
  <si>
    <t xml:space="preserve">tutoriaLinux - search: "Linux process management ps top kill tutorial" + "lsof strace tutorial"</t>
  </si>
  <si>
    <t xml:space="preserve">1.5 SSH Keys &amp; Passwordless Login — ssh-keygen -t ed25519, ssh-copy-id, ssh -i, ~/.ssh/authorized_keys, ~/.ssh/known_hosts, ~/.ssh/config</t>
  </si>
  <si>
    <t xml:space="preserve">NetworkChuck - search: "SSH keys explained tutorial"</t>
  </si>
  <si>
    <t xml:space="preserve">docs.github.com/en/authentication/connecting-to-github-with-ssh</t>
  </si>
  <si>
    <t xml:space="preserve">1.6 User Management, Sudo, Packages — useradd -m, usermod -aG sudo, userdel -r, passwd, su - vs sudo, apt update/install/remove, yum/dnf</t>
  </si>
  <si>
    <t xml:space="preserve">tutoriaLinux - search: "Linux user management sudo useradd tutorial"</t>
  </si>
  <si>
    <t xml:space="preserve">1.7 Cron Jobs (crontab -e/-l/-r, syntax: min hour day month weekday) + 1.8 Bash Scripting (shebang, variables, $1/$2, $?, if-else, for/while loops, functions)</t>
  </si>
  <si>
    <t xml:space="preserve">freeCodeCamp - search: "Bash scripting full course" + "Crontab tutorial"</t>
  </si>
  <si>
    <t xml:space="preserve">crontab.guru (test cron syntax live)</t>
  </si>
  <si>
    <t xml:space="preserve">1.9 Environment Variables (export, echo $PATH, source ~/.bashrc, aliases) + 1.10 Log Analysis &amp; Text Processing (grep -ri, awk, sed, cut, sort -n -r, uniq -c, tee -a, diff -u)</t>
  </si>
  <si>
    <t xml:space="preserve">Corey Schafer / freeCodeCamp - search: "grep awk sed tutorial"</t>
  </si>
  <si>
    <t xml:space="preserve">1.11 Storage Mgmt (df, du, lsblk, mount, tar -cvzf/-xvzf, LVM: pvdisplay/vgdisplay/lvdisplay) + 1.12 Networking (ip a, ss -tulwn, ping, curl, wget, dig, scp, rsync) + 1.13 Local DNS (/etc/hosts) + 1.14 Firewall (ufw) + 1.15 Systemd (systemctl, journalctl) — revision day</t>
  </si>
  <si>
    <t xml:space="preserve">NetworkChuck - search: "Linux networking commands tutorial" + "UFW firewall tutorial" + "systemd journalctl tutorial"</t>
  </si>
  <si>
    <t xml:space="preserve">Phase 2: Networking Fundamentals</t>
  </si>
  <si>
    <t xml:space="preserve">CONCEPT</t>
  </si>
  <si>
    <t xml:space="preserve">OSI / TCP-IP Model (layers overview) + IP Addressing &amp; Ports (HTTP=80, HTTPS=443, SSH=22)</t>
  </si>
  <si>
    <t xml:space="preserve">NetworkChuck - search: "OSI model explained" + "IP addresses explained"</t>
  </si>
  <si>
    <t xml:space="preserve">cloudflare.com/learning/network-layer</t>
  </si>
  <si>
    <t xml:space="preserve">Protocols - TCP, UDP, HTTP/HTTPS, DNS, SSH + DNS Resolution Process (full chain: hosts file -&gt; DNS server -&gt; IP -&gt; browser)</t>
  </si>
  <si>
    <t xml:space="preserve">NetworkChuck - search: "DNS explained" + "TCP vs UDP explained"</t>
  </si>
  <si>
    <t xml:space="preserve">cloudflare.com/learning/dns/what-is-dns</t>
  </si>
  <si>
    <t xml:space="preserve">Firewalls &amp; Load Balancers (concept only) + full Phase 2 revision</t>
  </si>
  <si>
    <t xml:space="preserve">search: "Load balancer vs firewall explained"</t>
  </si>
  <si>
    <t xml:space="preserve">cloudflare.com/learning/cdn/glossary/load-balancing</t>
  </si>
  <si>
    <t xml:space="preserve">Phase 3: Git &amp; Version Control</t>
  </si>
  <si>
    <t xml:space="preserve">Git basics - init, clone, add, commit, push, pull</t>
  </si>
  <si>
    <t xml:space="preserve">freeCodeCamp - search: "Git and GitHub for Beginners"</t>
  </si>
  <si>
    <t xml:space="preserve">git-scm.com/book (free official book)</t>
  </si>
  <si>
    <t xml:space="preserve">Branching, merging, merge conflicts</t>
  </si>
  <si>
    <t xml:space="preserve">freeCodeCamp (same course, branching section)</t>
  </si>
  <si>
    <t xml:space="preserve">learngitbranching.js.org (interactive practice)</t>
  </si>
  <si>
    <t xml:space="preserve">PR workflow, .gitignore + practice: full feature-branch workflow (branch -&gt; commit -&gt; push -&gt; PR -&gt; review -&gt; merge)</t>
  </si>
  <si>
    <t xml:space="preserve">freeCodeCamp (same course, PR workflow section)</t>
  </si>
  <si>
    <t xml:space="preserve">docs.github.com/en/pull-requests</t>
  </si>
  <si>
    <t xml:space="preserve">Phase 4: Scripting (Bash+Python)</t>
  </si>
  <si>
    <t xml:space="preserve">Bash scripting revision + advanced (variables, conditions, loops, functions) combined with Python intro</t>
  </si>
  <si>
    <t xml:space="preserve">freeCodeCamp - search: "Bash scripting full course" (revision)</t>
  </si>
  <si>
    <t xml:space="preserve">-</t>
  </si>
  <si>
    <t xml:space="preserve">Python basics for DevOps - variables, loops, functions, file handling</t>
  </si>
  <si>
    <t xml:space="preserve">Corey Schafer - search: "Python Tutorial for Beginners"</t>
  </si>
  <si>
    <t xml:space="preserve">docs.python.org/3/tutorial</t>
  </si>
  <si>
    <t xml:space="preserve">Python os module (system operations) + subprocess module (running shell commands from Python)</t>
  </si>
  <si>
    <t xml:space="preserve">Corey Schafer - search: "Python subprocess module tutorial"</t>
  </si>
  <si>
    <t xml:space="preserve">docs.python.org/3/library/subprocess.html</t>
  </si>
  <si>
    <t xml:space="preserve">Python requests library - making API calls, JSON parsing</t>
  </si>
  <si>
    <t xml:space="preserve">Corey Schafer - search: "Python requests module tutorial"</t>
  </si>
  <si>
    <t xml:space="preserve">docs.python-requests.org</t>
  </si>
  <si>
    <t xml:space="preserve">Mini project - script to fetch API data &amp; save to file, OR run one command across multiple servers</t>
  </si>
  <si>
    <t xml:space="preserve">Practice day - reuse Corey Schafer playlists above</t>
  </si>
  <si>
    <t xml:space="preserve">Phase 5: Docker &amp; Containerization</t>
  </si>
  <si>
    <t xml:space="preserve">Docker basics - images vs containers, docker run/build/push/pull</t>
  </si>
  <si>
    <t xml:space="preserve">TechWorld with Nana - search: "Docker Tutorial for Beginners"</t>
  </si>
  <si>
    <t xml:space="preserve">docker-curriculum.com</t>
  </si>
  <si>
    <t xml:space="preserve">Dockerfile writing + understanding layers (FROM, WORKDIR, COPY, RUN, CMD)</t>
  </si>
  <si>
    <t xml:space="preserve">TechWorld with Nana (same course, Dockerfile section)</t>
  </si>
  <si>
    <t xml:space="preserve">docs.docker.com/reference/dockerfile</t>
  </si>
  <si>
    <t xml:space="preserve">Docker Compose - multi-container apps</t>
  </si>
  <si>
    <t xml:space="preserve">TechWorld with Nana - search: "Docker Compose Tutorial"</t>
  </si>
  <si>
    <t xml:space="preserve">docs.docker.com/compose</t>
  </si>
  <si>
    <t xml:space="preserve">Docker volumes &amp; networking</t>
  </si>
  <si>
    <t xml:space="preserve">Bret Fisher - search: "Docker networking and volumes tutorial"</t>
  </si>
  <si>
    <t xml:space="preserve">docs.docker.com/storage/volumes</t>
  </si>
  <si>
    <t xml:space="preserve">Image optimization + Nginx as a web server</t>
  </si>
  <si>
    <t xml:space="preserve">search: "Nginx web server tutorial for beginners"</t>
  </si>
  <si>
    <t xml:space="preserve">nginx.org/en/docs/beginners_guide.html</t>
  </si>
  <si>
    <t xml:space="preserve">Nginx as reverse proxy (routing /api and / to different containers) + Apache overview</t>
  </si>
  <si>
    <t xml:space="preserve">search: "Nginx reverse proxy tutorial"</t>
  </si>
  <si>
    <t xml:space="preserve">nginx.org/en/docs/http/ngx_http_proxy_module.html</t>
  </si>
  <si>
    <t xml:space="preserve">HAProxy (advanced load balancing) + mini project: dockerized app served behind Nginx reverse proxy</t>
  </si>
  <si>
    <t xml:space="preserve">search: "HAProxy load balancing tutorial for beginners"</t>
  </si>
  <si>
    <t xml:space="preserve">docs.haproxy.org</t>
  </si>
  <si>
    <t xml:space="preserve">Phase 6: CI/CD Pipelines</t>
  </si>
  <si>
    <t xml:space="preserve">PRACTICAL-MASTER</t>
  </si>
  <si>
    <t xml:space="preserve">CI/CD concepts + full pipeline flow (push -&gt; build -&gt; test -&gt; image -&gt; registry -&gt; deploy)</t>
  </si>
  <si>
    <t xml:space="preserve">TechWorld with Nana - search: "CI CD Pipeline Explained"</t>
  </si>
  <si>
    <t xml:space="preserve">Jenkins basics - jobs, pipelines</t>
  </si>
  <si>
    <t xml:space="preserve">TechWorld with Nana - search: "Jenkins Tutorial for Beginners"</t>
  </si>
  <si>
    <t xml:space="preserve">jenkins.io/doc</t>
  </si>
  <si>
    <t xml:space="preserve">GitHub Actions - workflows, YAML syntax</t>
  </si>
  <si>
    <t xml:space="preserve">TechWorld with Nana - search: "GitHub Actions Tutorial"</t>
  </si>
  <si>
    <t xml:space="preserve">docs.github.com/en/actions</t>
  </si>
  <si>
    <t xml:space="preserve">GitLab CI + artifact repositories (Docker Hub / ECR concepts)</t>
  </si>
  <si>
    <t xml:space="preserve">search: "GitLab CI CD Tutorial for Beginners"</t>
  </si>
  <si>
    <t xml:space="preserve">docs.gitlab.com/ee/ci</t>
  </si>
  <si>
    <t xml:space="preserve">Deployment strategies - Rolling, Blue-Green, Canary + unit testing awareness in pipelines</t>
  </si>
  <si>
    <t xml:space="preserve">search: "Blue Green vs Canary deployment explained"</t>
  </si>
  <si>
    <t xml:space="preserve">Load testing basics (JMeter or Locust) + build one complete end-to-end pipeline mini project</t>
  </si>
  <si>
    <t xml:space="preserve">search: "JMeter tutorial for beginners" / "Locust load testing tutorial"</t>
  </si>
  <si>
    <t xml:space="preserve">jmeter.apache.org / locust.io</t>
  </si>
  <si>
    <t xml:space="preserve">Phase 7: Cloud (AWS)</t>
  </si>
  <si>
    <t xml:space="preserve">PRACTICAL-DEEP</t>
  </si>
  <si>
    <t xml:space="preserve">IAM - users, roles, policies</t>
  </si>
  <si>
    <t xml:space="preserve">Abhishek Veeramalla / freeCodeCamp - search: "AWS IAM tutorial"</t>
  </si>
  <si>
    <t xml:space="preserve">docs.aws.amazon.com/iam</t>
  </si>
  <si>
    <t xml:space="preserve">EC2 - launching, configuring, connecting instances</t>
  </si>
  <si>
    <t xml:space="preserve">freeCodeCamp AWS course - search: "AWS EC2 tutorial for beginners"</t>
  </si>
  <si>
    <t xml:space="preserve">docs.aws.amazon.com/ec2</t>
  </si>
  <si>
    <t xml:space="preserve">VPC - public/private subnets, internet gateway, route tables</t>
  </si>
  <si>
    <t xml:space="preserve">search: "AWS VPC tutorial explained"</t>
  </si>
  <si>
    <t xml:space="preserve">docs.aws.amazon.com/vpc</t>
  </si>
  <si>
    <t xml:space="preserve">S3 - storage, buckets, policies</t>
  </si>
  <si>
    <t xml:space="preserve">search: "AWS S3 tutorial for beginners"</t>
  </si>
  <si>
    <t xml:space="preserve">docs.aws.amazon.com/s3</t>
  </si>
  <si>
    <t xml:space="preserve">RDS - managed databases in private subnet</t>
  </si>
  <si>
    <t xml:space="preserve">search: "AWS RDS tutorial for beginners"</t>
  </si>
  <si>
    <t xml:space="preserve">docs.aws.amazon.com/rds</t>
  </si>
  <si>
    <t xml:space="preserve">ELB - Elastic Load Balancer setup</t>
  </si>
  <si>
    <t xml:space="preserve">search: "AWS Elastic Load Balancer tutorial"</t>
  </si>
  <si>
    <t xml:space="preserve">docs.aws.amazon.com/elasticloadbalancing</t>
  </si>
  <si>
    <t xml:space="preserve">Auto Scaling Groups</t>
  </si>
  <si>
    <t xml:space="preserve">search: "AWS Auto Scaling Group tutorial"</t>
  </si>
  <si>
    <t xml:space="preserve">docs.aws.amazon.com/autoscaling</t>
  </si>
  <si>
    <t xml:space="preserve">Route 53 (DNS) + CloudFront/CDN (global caching)</t>
  </si>
  <si>
    <t xml:space="preserve">search: "AWS Route 53 tutorial" + "AWS CloudFront tutorial"</t>
  </si>
  <si>
    <t xml:space="preserve">docs.aws.amazon.com/route53</t>
  </si>
  <si>
    <t xml:space="preserve">Lambda - serverless functions</t>
  </si>
  <si>
    <t xml:space="preserve">search: "AWS Lambda tutorial for beginners"</t>
  </si>
  <si>
    <t xml:space="preserve">docs.aws.amazon.com/lambda</t>
  </si>
  <si>
    <t xml:space="preserve">CloudWatch (monitoring) + full mini project: CDN -&gt; ELB -&gt; EC2 (Auto Scaling) -&gt; RDS architecture</t>
  </si>
  <si>
    <t xml:space="preserve">search: "AWS CloudWatch tutorial"</t>
  </si>
  <si>
    <t xml:space="preserve">docs.aws.amazon.com/cloudwatch (use AWS Free Tier account to practice)</t>
  </si>
  <si>
    <t xml:space="preserve">Phase 8: Infrastructure as Code</t>
  </si>
  <si>
    <t xml:space="preserve">Terraform basics - init, plan, apply, destroy</t>
  </si>
  <si>
    <t xml:space="preserve">TechWorld with Nana - search: "Terraform Tutorial for Beginners"</t>
  </si>
  <si>
    <t xml:space="preserve">developer.hashicorp.com/terraform/tutorials</t>
  </si>
  <si>
    <t xml:space="preserve">Terraform - variables.tf, outputs.tf, state files (terraform.tfstate)</t>
  </si>
  <si>
    <t xml:space="preserve">TechWorld with Nana (same course, state files section)</t>
  </si>
  <si>
    <t xml:space="preserve">developer.hashicorp.com/terraform/language/state</t>
  </si>
  <si>
    <t xml:space="preserve">Terraform modules + write real EC2/VPC infra as code</t>
  </si>
  <si>
    <t xml:space="preserve">search: "Terraform Modules tutorial"</t>
  </si>
  <si>
    <t xml:space="preserve">developer.hashicorp.com/terraform/language/modules</t>
  </si>
  <si>
    <t xml:space="preserve">Ansible basics - playbooks, inventory</t>
  </si>
  <si>
    <t xml:space="preserve">search: "Ansible Tutorial for Beginners"</t>
  </si>
  <si>
    <t xml:space="preserve">docs.ansible.com/ansible/latest/getting_started</t>
  </si>
  <si>
    <t xml:space="preserve">Ansible roles + idempotency concept</t>
  </si>
  <si>
    <t xml:space="preserve">search: "Ansible roles and idempotency tutorial"</t>
  </si>
  <si>
    <t xml:space="preserve">docs.ansible.com/ansible/latest/playbook_guide/playbooks_reuse_roles.html</t>
  </si>
  <si>
    <t xml:space="preserve">Mini project - infra provisioned via Terraform + configured via Ansible</t>
  </si>
  <si>
    <t xml:space="preserve">Practice day - reuse Terraform + Ansible playlists above</t>
  </si>
  <si>
    <t xml:space="preserve">Phase 9: Kubernetes</t>
  </si>
  <si>
    <t xml:space="preserve">K8s architecture - Control Plane (API Server, Scheduler, Controller Manager, etcd) + Worker Nodes</t>
  </si>
  <si>
    <t xml:space="preserve">TechWorld with Nana - search: "Kubernetes Tutorial for Beginners"</t>
  </si>
  <si>
    <t xml:space="preserve">kubernetes.io/docs/tutorials</t>
  </si>
  <si>
    <t xml:space="preserve">Pods &amp; Deployments (desired state, ReplicaSets)</t>
  </si>
  <si>
    <t xml:space="preserve">KodeKloud - "Kubernetes for the Absolute Beginners" (free playlist)</t>
  </si>
  <si>
    <t xml:space="preserve">killercoda.com (free K8s sandbox)</t>
  </si>
  <si>
    <t xml:space="preserve">Services (traffic distribution across pods)</t>
  </si>
  <si>
    <t xml:space="preserve">KodeKloud (same playlist, Services section)</t>
  </si>
  <si>
    <t xml:space="preserve">kubernetes.io/docs/concepts/services-networking/service</t>
  </si>
  <si>
    <t xml:space="preserve">ConfigMaps &amp; Secrets</t>
  </si>
  <si>
    <t xml:space="preserve">search: "Kubernetes ConfigMaps and Secrets tutorial"</t>
  </si>
  <si>
    <t xml:space="preserve">kubernetes.io/docs/concepts/configuration</t>
  </si>
  <si>
    <t xml:space="preserve">Ingress (routing external traffic into cluster)</t>
  </si>
  <si>
    <t xml:space="preserve">search: "Kubernetes Ingress tutorial"</t>
  </si>
  <si>
    <t xml:space="preserve">kubernetes.io/docs/concepts/services-networking/ingress</t>
  </si>
  <si>
    <t xml:space="preserve">Helm (package manager for K8s)</t>
  </si>
  <si>
    <t xml:space="preserve">search: "Helm Kubernetes Tutorial for Beginners"</t>
  </si>
  <si>
    <t xml:space="preserve">helm.sh/docs</t>
  </si>
  <si>
    <t xml:space="preserve">HPA - Horizontal Pod Autoscaler</t>
  </si>
  <si>
    <t xml:space="preserve">search: "Kubernetes HPA tutorial"</t>
  </si>
  <si>
    <t xml:space="preserve">kubernetes.io/docs/tasks/run-application/horizontal-pod-autoscale</t>
  </si>
  <si>
    <t xml:space="preserve">StatefulSets</t>
  </si>
  <si>
    <t xml:space="preserve">search: "Kubernetes StatefulSets tutorial"</t>
  </si>
  <si>
    <t xml:space="preserve">kubernetes.io/docs/concepts/workloads/controllers/statefulset</t>
  </si>
  <si>
    <t xml:space="preserve">RBAC (Role-Based Access Control)</t>
  </si>
  <si>
    <t xml:space="preserve">search: "Kubernetes RBAC tutorial"</t>
  </si>
  <si>
    <t xml:space="preserve">kubernetes.io/docs/reference/access-authn-authz/rbac</t>
  </si>
  <si>
    <t xml:space="preserve">Full mini project - deploy an app on K8s using Deployment + Service + ConfigMap + Ingress + revision</t>
  </si>
  <si>
    <t xml:space="preserve">Practice day - reuse KodeKloud + TechWorld with Nana playlists above</t>
  </si>
  <si>
    <t xml:space="preserve">killercoda.com</t>
  </si>
  <si>
    <t xml:space="preserve">Buffer / Revision</t>
  </si>
  <si>
    <t xml:space="preserve">Buffer day - revise weak areas from Phase 1-9, redo any skipped practice, catch up if behind schedule</t>
  </si>
  <si>
    <t xml:space="preserve">Revise weak topics using Day 1-59 links above</t>
  </si>
  <si>
    <t xml:space="preserve">Days</t>
  </si>
  <si>
    <t xml:space="preserve">% of 60% Syllabus</t>
  </si>
  <si>
    <t xml:space="preserve">Day 0 - Core Concepts</t>
  </si>
  <si>
    <t xml:space="preserve">Phase 1 - Linux Fundamentals</t>
  </si>
  <si>
    <t xml:space="preserve">Phase 2 - Networking Fundamentals</t>
  </si>
  <si>
    <t xml:space="preserve">Phase 3 - Git &amp; Version Control</t>
  </si>
  <si>
    <t xml:space="preserve">Phase 4 - Scripting (Bash+Python)</t>
  </si>
  <si>
    <t xml:space="preserve">Practical</t>
  </si>
  <si>
    <t xml:space="preserve">Phase 5 - Docker &amp; Containerization</t>
  </si>
  <si>
    <t xml:space="preserve">Phase 6 - CI/CD Pipelines</t>
  </si>
  <si>
    <t xml:space="preserve">Practical-Master</t>
  </si>
  <si>
    <t xml:space="preserve">Phase 7 - Cloud (AWS)</t>
  </si>
  <si>
    <t xml:space="preserve">Practical-Deep</t>
  </si>
  <si>
    <t xml:space="preserve">Phase 8 - Infrastructure as Code</t>
  </si>
  <si>
    <t xml:space="preserve">Phase 9 - Kubernetes</t>
  </si>
  <si>
    <t xml:space="preserve">TOTAL</t>
  </si>
  <si>
    <t xml:space="preserve">60-Day DevOps Roadmap - Progress Tracker</t>
  </si>
  <si>
    <t xml:space="preserve">Total Days</t>
  </si>
  <si>
    <t xml:space="preserve">Days Done</t>
  </si>
  <si>
    <t xml:space="preserve">Days In Progress</t>
  </si>
  <si>
    <t xml:space="preserve">Days Pending</t>
  </si>
  <si>
    <t xml:space="preserve">Completion 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</si>
</sst>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D9EAD3"/>
        <bgColor rgb="FFD0E0E3"/>
      </patternFill>
    </fill>
    <fill>
      <patternFill patternType="solid">
        <fgColor rgb="FFFFF2CC"/>
        <bgColor rgb="FFFCE4D6"/>
      </patternFill>
    </fill>
    <fill>
      <patternFill patternType="solid">
        <fgColor rgb="FFD0E0E3"/>
        <bgColor rgb="FFCFE2F3"/>
      </patternFill>
    </fill>
    <fill>
      <patternFill patternType="solid">
        <fgColor rgb="FFEAD1DC"/>
        <bgColor rgb="FFF4CCCC"/>
      </patternFill>
    </fill>
    <fill>
      <patternFill patternType="solid">
        <fgColor rgb="FFCFE2F3"/>
        <bgColor rgb="FFD0E0E3"/>
      </patternFill>
    </fill>
    <fill>
      <patternFill patternType="solid">
        <fgColor rgb="FFF4CCCC"/>
        <bgColor rgb="FFEAD1DC"/>
      </patternFill>
    </fill>
    <fill>
      <patternFill patternType="solid">
        <fgColor rgb="FFFFE599"/>
        <bgColor rgb="FFFFF2CC"/>
      </patternFill>
    </fill>
    <fill>
      <patternFill patternType="solid">
        <fgColor rgb="FFD9D2E9"/>
        <bgColor rgb="FFD9D9D9"/>
      </patternFill>
    </fill>
    <fill>
      <patternFill patternType="solid">
        <fgColor rgb="FFB6D7A8"/>
        <bgColor rgb="FFB7B7B7"/>
      </patternFill>
    </fill>
    <fill>
      <patternFill patternType="solid">
        <fgColor rgb="FFD9D9D9"/>
        <bgColor rgb="FFD9D2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FE2F3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0E3"/>
      <rgbColor rgb="FFD9EAD3"/>
      <rgbColor rgb="FFFFE599"/>
      <rgbColor rgb="FFB6D7A8"/>
      <rgbColor rgb="FFEAD1DC"/>
      <rgbColor rgb="FFD9D9D9"/>
      <rgbColor rgb="FFF4CCCC"/>
      <rgbColor rgb="FF3366FF"/>
      <rgbColor rgb="FF33CCCC"/>
      <rgbColor rgb="FF99CC00"/>
      <rgbColor rgb="FFFCE4D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70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48"/>
    <col collapsed="false" customWidth="true" hidden="false" outlineLevel="0" max="8" min="8" style="1" width="42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60" hidden="false" customHeight="true" outlineLevel="0" collapsed="false">
      <c r="A2" s="3" t="n">
        <v>1</v>
      </c>
      <c r="B2" s="4" t="s">
        <v>8</v>
      </c>
      <c r="C2" s="3" t="s">
        <v>9</v>
      </c>
      <c r="D2" s="4" t="s">
        <v>10</v>
      </c>
      <c r="E2" s="3" t="n">
        <v>8</v>
      </c>
      <c r="F2" s="3" t="s">
        <v>11</v>
      </c>
      <c r="G2" s="4" t="s">
        <v>12</v>
      </c>
      <c r="H2" s="4" t="s">
        <v>13</v>
      </c>
    </row>
    <row r="3" customFormat="false" ht="60" hidden="false" customHeight="true" outlineLevel="0" collapsed="false">
      <c r="A3" s="5" t="n">
        <v>2</v>
      </c>
      <c r="B3" s="5" t="s">
        <v>14</v>
      </c>
      <c r="C3" s="5" t="s">
        <v>15</v>
      </c>
      <c r="D3" s="5" t="s">
        <v>16</v>
      </c>
      <c r="E3" s="5" t="n">
        <v>8</v>
      </c>
      <c r="F3" s="5" t="s">
        <v>11</v>
      </c>
      <c r="G3" s="5" t="s">
        <v>17</v>
      </c>
      <c r="H3" s="5" t="s">
        <v>13</v>
      </c>
    </row>
    <row r="4" customFormat="false" ht="60" hidden="false" customHeight="true" outlineLevel="0" collapsed="false">
      <c r="A4" s="5" t="n">
        <v>3</v>
      </c>
      <c r="B4" s="5" t="s">
        <v>14</v>
      </c>
      <c r="C4" s="5" t="s">
        <v>15</v>
      </c>
      <c r="D4" s="5" t="s">
        <v>18</v>
      </c>
      <c r="E4" s="5" t="n">
        <v>8</v>
      </c>
      <c r="F4" s="5" t="s">
        <v>11</v>
      </c>
      <c r="G4" s="5" t="s">
        <v>19</v>
      </c>
      <c r="H4" s="5" t="s">
        <v>20</v>
      </c>
    </row>
    <row r="5" customFormat="false" ht="60" hidden="false" customHeight="true" outlineLevel="0" collapsed="false">
      <c r="A5" s="5" t="n">
        <v>4</v>
      </c>
      <c r="B5" s="5" t="s">
        <v>14</v>
      </c>
      <c r="C5" s="5" t="s">
        <v>21</v>
      </c>
      <c r="D5" s="5" t="s">
        <v>22</v>
      </c>
      <c r="E5" s="5" t="n">
        <v>8</v>
      </c>
      <c r="F5" s="5" t="s">
        <v>11</v>
      </c>
      <c r="G5" s="5" t="s">
        <v>23</v>
      </c>
      <c r="H5" s="5" t="s">
        <v>13</v>
      </c>
    </row>
    <row r="6" customFormat="false" ht="60" hidden="false" customHeight="true" outlineLevel="0" collapsed="false">
      <c r="A6" s="5" t="n">
        <v>5</v>
      </c>
      <c r="B6" s="5" t="s">
        <v>14</v>
      </c>
      <c r="C6" s="5" t="s">
        <v>21</v>
      </c>
      <c r="D6" s="5" t="s">
        <v>24</v>
      </c>
      <c r="E6" s="5" t="n">
        <v>8</v>
      </c>
      <c r="F6" s="5" t="s">
        <v>11</v>
      </c>
      <c r="G6" s="5" t="s">
        <v>25</v>
      </c>
      <c r="H6" s="5" t="s">
        <v>26</v>
      </c>
    </row>
    <row r="7" customFormat="false" ht="60" hidden="false" customHeight="true" outlineLevel="0" collapsed="false">
      <c r="A7" s="5" t="n">
        <v>6</v>
      </c>
      <c r="B7" s="5" t="s">
        <v>14</v>
      </c>
      <c r="C7" s="5" t="s">
        <v>21</v>
      </c>
      <c r="D7" s="5" t="s">
        <v>27</v>
      </c>
      <c r="E7" s="5" t="n">
        <v>8</v>
      </c>
      <c r="F7" s="5" t="s">
        <v>11</v>
      </c>
      <c r="G7" s="5" t="s">
        <v>28</v>
      </c>
      <c r="H7" s="5" t="s">
        <v>13</v>
      </c>
    </row>
    <row r="8" customFormat="false" ht="60" hidden="false" customHeight="true" outlineLevel="0" collapsed="false">
      <c r="A8" s="5" t="n">
        <v>7</v>
      </c>
      <c r="B8" s="5" t="s">
        <v>14</v>
      </c>
      <c r="C8" s="5" t="s">
        <v>21</v>
      </c>
      <c r="D8" s="5" t="s">
        <v>29</v>
      </c>
      <c r="E8" s="5" t="n">
        <v>8</v>
      </c>
      <c r="F8" s="5" t="s">
        <v>11</v>
      </c>
      <c r="G8" s="5" t="s">
        <v>30</v>
      </c>
      <c r="H8" s="5" t="s">
        <v>31</v>
      </c>
    </row>
    <row r="9" customFormat="false" ht="60" hidden="false" customHeight="true" outlineLevel="0" collapsed="false">
      <c r="A9" s="5" t="n">
        <v>8</v>
      </c>
      <c r="B9" s="5" t="s">
        <v>14</v>
      </c>
      <c r="C9" s="5" t="s">
        <v>21</v>
      </c>
      <c r="D9" s="5" t="s">
        <v>32</v>
      </c>
      <c r="E9" s="5" t="n">
        <v>8</v>
      </c>
      <c r="F9" s="5" t="s">
        <v>11</v>
      </c>
      <c r="G9" s="5" t="s">
        <v>33</v>
      </c>
      <c r="H9" s="5" t="s">
        <v>13</v>
      </c>
    </row>
    <row r="10" customFormat="false" ht="60" hidden="false" customHeight="true" outlineLevel="0" collapsed="false">
      <c r="A10" s="5" t="n">
        <v>9</v>
      </c>
      <c r="B10" s="5" t="s">
        <v>14</v>
      </c>
      <c r="C10" s="5" t="s">
        <v>21</v>
      </c>
      <c r="D10" s="5" t="s">
        <v>34</v>
      </c>
      <c r="E10" s="5" t="n">
        <v>8</v>
      </c>
      <c r="F10" s="5" t="s">
        <v>11</v>
      </c>
      <c r="G10" s="5" t="s">
        <v>35</v>
      </c>
      <c r="H10" s="5" t="s">
        <v>13</v>
      </c>
    </row>
    <row r="11" customFormat="false" ht="60" hidden="false" customHeight="true" outlineLevel="0" collapsed="false">
      <c r="A11" s="6" t="n">
        <v>10</v>
      </c>
      <c r="B11" s="7" t="s">
        <v>36</v>
      </c>
      <c r="C11" s="6" t="s">
        <v>37</v>
      </c>
      <c r="D11" s="7" t="s">
        <v>38</v>
      </c>
      <c r="E11" s="6" t="n">
        <v>8</v>
      </c>
      <c r="F11" s="6" t="s">
        <v>11</v>
      </c>
      <c r="G11" s="7" t="s">
        <v>39</v>
      </c>
      <c r="H11" s="7" t="s">
        <v>40</v>
      </c>
    </row>
    <row r="12" customFormat="false" ht="60" hidden="false" customHeight="true" outlineLevel="0" collapsed="false">
      <c r="A12" s="6" t="n">
        <v>11</v>
      </c>
      <c r="B12" s="7" t="s">
        <v>36</v>
      </c>
      <c r="C12" s="6" t="s">
        <v>37</v>
      </c>
      <c r="D12" s="7" t="s">
        <v>41</v>
      </c>
      <c r="E12" s="6" t="n">
        <v>8</v>
      </c>
      <c r="F12" s="6" t="s">
        <v>11</v>
      </c>
      <c r="G12" s="7" t="s">
        <v>42</v>
      </c>
      <c r="H12" s="7" t="s">
        <v>43</v>
      </c>
    </row>
    <row r="13" customFormat="false" ht="60" hidden="false" customHeight="true" outlineLevel="0" collapsed="false">
      <c r="A13" s="6" t="n">
        <v>12</v>
      </c>
      <c r="B13" s="7" t="s">
        <v>36</v>
      </c>
      <c r="C13" s="6" t="s">
        <v>37</v>
      </c>
      <c r="D13" s="7" t="s">
        <v>44</v>
      </c>
      <c r="E13" s="6" t="n">
        <v>8</v>
      </c>
      <c r="F13" s="6" t="s">
        <v>11</v>
      </c>
      <c r="G13" s="7" t="s">
        <v>45</v>
      </c>
      <c r="H13" s="7" t="s">
        <v>46</v>
      </c>
    </row>
    <row r="14" customFormat="false" ht="60" hidden="false" customHeight="true" outlineLevel="0" collapsed="false">
      <c r="A14" s="8" t="n">
        <v>13</v>
      </c>
      <c r="B14" s="9" t="s">
        <v>47</v>
      </c>
      <c r="C14" s="8" t="s">
        <v>15</v>
      </c>
      <c r="D14" s="9" t="s">
        <v>48</v>
      </c>
      <c r="E14" s="8" t="n">
        <v>8</v>
      </c>
      <c r="F14" s="8" t="s">
        <v>11</v>
      </c>
      <c r="G14" s="9" t="s">
        <v>49</v>
      </c>
      <c r="H14" s="9" t="s">
        <v>50</v>
      </c>
    </row>
    <row r="15" customFormat="false" ht="60" hidden="false" customHeight="true" outlineLevel="0" collapsed="false">
      <c r="A15" s="8" t="n">
        <v>14</v>
      </c>
      <c r="B15" s="9" t="s">
        <v>47</v>
      </c>
      <c r="C15" s="8" t="s">
        <v>15</v>
      </c>
      <c r="D15" s="9" t="s">
        <v>51</v>
      </c>
      <c r="E15" s="8" t="n">
        <v>8</v>
      </c>
      <c r="F15" s="8" t="s">
        <v>11</v>
      </c>
      <c r="G15" s="9" t="s">
        <v>52</v>
      </c>
      <c r="H15" s="9" t="s">
        <v>53</v>
      </c>
    </row>
    <row r="16" customFormat="false" ht="60" hidden="false" customHeight="true" outlineLevel="0" collapsed="false">
      <c r="A16" s="8" t="n">
        <v>15</v>
      </c>
      <c r="B16" s="9" t="s">
        <v>47</v>
      </c>
      <c r="C16" s="8" t="s">
        <v>15</v>
      </c>
      <c r="D16" s="9" t="s">
        <v>54</v>
      </c>
      <c r="E16" s="8" t="n">
        <v>8</v>
      </c>
      <c r="F16" s="8" t="s">
        <v>11</v>
      </c>
      <c r="G16" s="9" t="s">
        <v>55</v>
      </c>
      <c r="H16" s="9" t="s">
        <v>56</v>
      </c>
    </row>
    <row r="17" customFormat="false" ht="60" hidden="false" customHeight="true" outlineLevel="0" collapsed="false">
      <c r="A17" s="10" t="n">
        <v>16</v>
      </c>
      <c r="B17" s="11" t="s">
        <v>57</v>
      </c>
      <c r="C17" s="10" t="s">
        <v>21</v>
      </c>
      <c r="D17" s="11" t="s">
        <v>58</v>
      </c>
      <c r="E17" s="10" t="n">
        <v>8</v>
      </c>
      <c r="F17" s="10" t="s">
        <v>11</v>
      </c>
      <c r="G17" s="11" t="s">
        <v>59</v>
      </c>
      <c r="H17" s="11" t="s">
        <v>60</v>
      </c>
    </row>
    <row r="18" customFormat="false" ht="60" hidden="false" customHeight="true" outlineLevel="0" collapsed="false">
      <c r="A18" s="10" t="n">
        <v>17</v>
      </c>
      <c r="B18" s="11" t="s">
        <v>57</v>
      </c>
      <c r="C18" s="10" t="s">
        <v>21</v>
      </c>
      <c r="D18" s="11" t="s">
        <v>61</v>
      </c>
      <c r="E18" s="10" t="n">
        <v>8</v>
      </c>
      <c r="F18" s="10" t="s">
        <v>11</v>
      </c>
      <c r="G18" s="11" t="s">
        <v>62</v>
      </c>
      <c r="H18" s="11" t="s">
        <v>63</v>
      </c>
    </row>
    <row r="19" customFormat="false" ht="60" hidden="false" customHeight="true" outlineLevel="0" collapsed="false">
      <c r="A19" s="10" t="n">
        <v>18</v>
      </c>
      <c r="B19" s="11" t="s">
        <v>57</v>
      </c>
      <c r="C19" s="10" t="s">
        <v>21</v>
      </c>
      <c r="D19" s="11" t="s">
        <v>64</v>
      </c>
      <c r="E19" s="10" t="n">
        <v>8</v>
      </c>
      <c r="F19" s="10" t="s">
        <v>11</v>
      </c>
      <c r="G19" s="11" t="s">
        <v>65</v>
      </c>
      <c r="H19" s="11" t="s">
        <v>66</v>
      </c>
    </row>
    <row r="20" customFormat="false" ht="60" hidden="false" customHeight="true" outlineLevel="0" collapsed="false">
      <c r="A20" s="10" t="n">
        <v>19</v>
      </c>
      <c r="B20" s="11" t="s">
        <v>57</v>
      </c>
      <c r="C20" s="10" t="s">
        <v>21</v>
      </c>
      <c r="D20" s="11" t="s">
        <v>67</v>
      </c>
      <c r="E20" s="10" t="n">
        <v>8</v>
      </c>
      <c r="F20" s="10" t="s">
        <v>11</v>
      </c>
      <c r="G20" s="11" t="s">
        <v>68</v>
      </c>
      <c r="H20" s="11" t="s">
        <v>69</v>
      </c>
    </row>
    <row r="21" customFormat="false" ht="60" hidden="false" customHeight="true" outlineLevel="0" collapsed="false">
      <c r="A21" s="10" t="n">
        <v>20</v>
      </c>
      <c r="B21" s="11" t="s">
        <v>57</v>
      </c>
      <c r="C21" s="10" t="s">
        <v>21</v>
      </c>
      <c r="D21" s="11" t="s">
        <v>70</v>
      </c>
      <c r="E21" s="10" t="n">
        <v>8</v>
      </c>
      <c r="F21" s="10" t="s">
        <v>11</v>
      </c>
      <c r="G21" s="11" t="s">
        <v>71</v>
      </c>
      <c r="H21" s="11" t="s">
        <v>60</v>
      </c>
    </row>
    <row r="22" customFormat="false" ht="60" hidden="false" customHeight="true" outlineLevel="0" collapsed="false">
      <c r="A22" s="12" t="n">
        <v>21</v>
      </c>
      <c r="B22" s="13" t="s">
        <v>72</v>
      </c>
      <c r="C22" s="12" t="s">
        <v>15</v>
      </c>
      <c r="D22" s="13" t="s">
        <v>73</v>
      </c>
      <c r="E22" s="12" t="n">
        <v>8</v>
      </c>
      <c r="F22" s="12" t="s">
        <v>11</v>
      </c>
      <c r="G22" s="13" t="s">
        <v>74</v>
      </c>
      <c r="H22" s="13" t="s">
        <v>75</v>
      </c>
    </row>
    <row r="23" customFormat="false" ht="60" hidden="false" customHeight="true" outlineLevel="0" collapsed="false">
      <c r="A23" s="12" t="n">
        <v>22</v>
      </c>
      <c r="B23" s="13" t="s">
        <v>72</v>
      </c>
      <c r="C23" s="12" t="s">
        <v>15</v>
      </c>
      <c r="D23" s="13" t="s">
        <v>76</v>
      </c>
      <c r="E23" s="12" t="n">
        <v>8</v>
      </c>
      <c r="F23" s="12" t="s">
        <v>11</v>
      </c>
      <c r="G23" s="13" t="s">
        <v>77</v>
      </c>
      <c r="H23" s="13" t="s">
        <v>78</v>
      </c>
    </row>
    <row r="24" customFormat="false" ht="60" hidden="false" customHeight="true" outlineLevel="0" collapsed="false">
      <c r="A24" s="12" t="n">
        <v>23</v>
      </c>
      <c r="B24" s="13" t="s">
        <v>72</v>
      </c>
      <c r="C24" s="12" t="s">
        <v>15</v>
      </c>
      <c r="D24" s="13" t="s">
        <v>79</v>
      </c>
      <c r="E24" s="12" t="n">
        <v>8</v>
      </c>
      <c r="F24" s="12" t="s">
        <v>11</v>
      </c>
      <c r="G24" s="13" t="s">
        <v>80</v>
      </c>
      <c r="H24" s="13" t="s">
        <v>81</v>
      </c>
    </row>
    <row r="25" customFormat="false" ht="60" hidden="false" customHeight="true" outlineLevel="0" collapsed="false">
      <c r="A25" s="12" t="n">
        <v>24</v>
      </c>
      <c r="B25" s="13" t="s">
        <v>72</v>
      </c>
      <c r="C25" s="12" t="s">
        <v>15</v>
      </c>
      <c r="D25" s="13" t="s">
        <v>82</v>
      </c>
      <c r="E25" s="12" t="n">
        <v>8</v>
      </c>
      <c r="F25" s="12" t="s">
        <v>11</v>
      </c>
      <c r="G25" s="13" t="s">
        <v>83</v>
      </c>
      <c r="H25" s="13" t="s">
        <v>84</v>
      </c>
    </row>
    <row r="26" customFormat="false" ht="60" hidden="false" customHeight="true" outlineLevel="0" collapsed="false">
      <c r="A26" s="12" t="n">
        <v>25</v>
      </c>
      <c r="B26" s="13" t="s">
        <v>72</v>
      </c>
      <c r="C26" s="12" t="s">
        <v>15</v>
      </c>
      <c r="D26" s="13" t="s">
        <v>85</v>
      </c>
      <c r="E26" s="12" t="n">
        <v>8</v>
      </c>
      <c r="F26" s="12" t="s">
        <v>11</v>
      </c>
      <c r="G26" s="13" t="s">
        <v>86</v>
      </c>
      <c r="H26" s="13" t="s">
        <v>87</v>
      </c>
    </row>
    <row r="27" customFormat="false" ht="60" hidden="false" customHeight="true" outlineLevel="0" collapsed="false">
      <c r="A27" s="12" t="n">
        <v>26</v>
      </c>
      <c r="B27" s="13" t="s">
        <v>72</v>
      </c>
      <c r="C27" s="12" t="s">
        <v>15</v>
      </c>
      <c r="D27" s="13" t="s">
        <v>88</v>
      </c>
      <c r="E27" s="12" t="n">
        <v>8</v>
      </c>
      <c r="F27" s="12" t="s">
        <v>11</v>
      </c>
      <c r="G27" s="13" t="s">
        <v>89</v>
      </c>
      <c r="H27" s="13" t="s">
        <v>90</v>
      </c>
    </row>
    <row r="28" customFormat="false" ht="60" hidden="false" customHeight="true" outlineLevel="0" collapsed="false">
      <c r="A28" s="12" t="n">
        <v>27</v>
      </c>
      <c r="B28" s="13" t="s">
        <v>72</v>
      </c>
      <c r="C28" s="12" t="s">
        <v>15</v>
      </c>
      <c r="D28" s="13" t="s">
        <v>91</v>
      </c>
      <c r="E28" s="12" t="n">
        <v>8</v>
      </c>
      <c r="F28" s="12" t="s">
        <v>11</v>
      </c>
      <c r="G28" s="13" t="s">
        <v>92</v>
      </c>
      <c r="H28" s="13" t="s">
        <v>93</v>
      </c>
    </row>
    <row r="29" customFormat="false" ht="60" hidden="false" customHeight="true" outlineLevel="0" collapsed="false">
      <c r="A29" s="14" t="n">
        <v>28</v>
      </c>
      <c r="B29" s="15" t="s">
        <v>94</v>
      </c>
      <c r="C29" s="14" t="s">
        <v>95</v>
      </c>
      <c r="D29" s="15" t="s">
        <v>96</v>
      </c>
      <c r="E29" s="14" t="n">
        <v>8</v>
      </c>
      <c r="F29" s="14" t="s">
        <v>11</v>
      </c>
      <c r="G29" s="15" t="s">
        <v>97</v>
      </c>
      <c r="H29" s="15" t="s">
        <v>60</v>
      </c>
    </row>
    <row r="30" customFormat="false" ht="60" hidden="false" customHeight="true" outlineLevel="0" collapsed="false">
      <c r="A30" s="14" t="n">
        <v>29</v>
      </c>
      <c r="B30" s="15" t="s">
        <v>94</v>
      </c>
      <c r="C30" s="14" t="s">
        <v>95</v>
      </c>
      <c r="D30" s="15" t="s">
        <v>98</v>
      </c>
      <c r="E30" s="14" t="n">
        <v>8</v>
      </c>
      <c r="F30" s="14" t="s">
        <v>11</v>
      </c>
      <c r="G30" s="15" t="s">
        <v>99</v>
      </c>
      <c r="H30" s="15" t="s">
        <v>100</v>
      </c>
    </row>
    <row r="31" customFormat="false" ht="60" hidden="false" customHeight="true" outlineLevel="0" collapsed="false">
      <c r="A31" s="14" t="n">
        <v>30</v>
      </c>
      <c r="B31" s="15" t="s">
        <v>94</v>
      </c>
      <c r="C31" s="14" t="s">
        <v>95</v>
      </c>
      <c r="D31" s="15" t="s">
        <v>101</v>
      </c>
      <c r="E31" s="14" t="n">
        <v>8</v>
      </c>
      <c r="F31" s="14" t="s">
        <v>11</v>
      </c>
      <c r="G31" s="15" t="s">
        <v>102</v>
      </c>
      <c r="H31" s="15" t="s">
        <v>103</v>
      </c>
    </row>
    <row r="32" customFormat="false" ht="60" hidden="false" customHeight="true" outlineLevel="0" collapsed="false">
      <c r="A32" s="14" t="n">
        <v>31</v>
      </c>
      <c r="B32" s="15" t="s">
        <v>94</v>
      </c>
      <c r="C32" s="14" t="s">
        <v>95</v>
      </c>
      <c r="D32" s="15" t="s">
        <v>104</v>
      </c>
      <c r="E32" s="14" t="n">
        <v>8</v>
      </c>
      <c r="F32" s="14" t="s">
        <v>11</v>
      </c>
      <c r="G32" s="15" t="s">
        <v>105</v>
      </c>
      <c r="H32" s="15" t="s">
        <v>106</v>
      </c>
    </row>
    <row r="33" customFormat="false" ht="60" hidden="false" customHeight="true" outlineLevel="0" collapsed="false">
      <c r="A33" s="14" t="n">
        <v>32</v>
      </c>
      <c r="B33" s="15" t="s">
        <v>94</v>
      </c>
      <c r="C33" s="14" t="s">
        <v>95</v>
      </c>
      <c r="D33" s="15" t="s">
        <v>107</v>
      </c>
      <c r="E33" s="14" t="n">
        <v>8</v>
      </c>
      <c r="F33" s="14" t="s">
        <v>11</v>
      </c>
      <c r="G33" s="15" t="s">
        <v>108</v>
      </c>
      <c r="H33" s="15" t="s">
        <v>60</v>
      </c>
    </row>
    <row r="34" customFormat="false" ht="60" hidden="false" customHeight="true" outlineLevel="0" collapsed="false">
      <c r="A34" s="14" t="n">
        <v>33</v>
      </c>
      <c r="B34" s="15" t="s">
        <v>94</v>
      </c>
      <c r="C34" s="14" t="s">
        <v>95</v>
      </c>
      <c r="D34" s="15" t="s">
        <v>109</v>
      </c>
      <c r="E34" s="14" t="n">
        <v>8</v>
      </c>
      <c r="F34" s="14" t="s">
        <v>11</v>
      </c>
      <c r="G34" s="15" t="s">
        <v>110</v>
      </c>
      <c r="H34" s="15" t="s">
        <v>111</v>
      </c>
    </row>
    <row r="35" customFormat="false" ht="60" hidden="false" customHeight="true" outlineLevel="0" collapsed="false">
      <c r="A35" s="16" t="n">
        <v>34</v>
      </c>
      <c r="B35" s="17" t="s">
        <v>112</v>
      </c>
      <c r="C35" s="16" t="s">
        <v>113</v>
      </c>
      <c r="D35" s="17" t="s">
        <v>114</v>
      </c>
      <c r="E35" s="16" t="n">
        <v>8</v>
      </c>
      <c r="F35" s="16" t="s">
        <v>11</v>
      </c>
      <c r="G35" s="17" t="s">
        <v>115</v>
      </c>
      <c r="H35" s="17" t="s">
        <v>116</v>
      </c>
    </row>
    <row r="36" customFormat="false" ht="60" hidden="false" customHeight="true" outlineLevel="0" collapsed="false">
      <c r="A36" s="16" t="n">
        <v>35</v>
      </c>
      <c r="B36" s="17" t="s">
        <v>112</v>
      </c>
      <c r="C36" s="16" t="s">
        <v>113</v>
      </c>
      <c r="D36" s="17" t="s">
        <v>117</v>
      </c>
      <c r="E36" s="16" t="n">
        <v>8</v>
      </c>
      <c r="F36" s="16" t="s">
        <v>11</v>
      </c>
      <c r="G36" s="17" t="s">
        <v>118</v>
      </c>
      <c r="H36" s="17" t="s">
        <v>119</v>
      </c>
    </row>
    <row r="37" customFormat="false" ht="60" hidden="false" customHeight="true" outlineLevel="0" collapsed="false">
      <c r="A37" s="16" t="n">
        <v>36</v>
      </c>
      <c r="B37" s="17" t="s">
        <v>112</v>
      </c>
      <c r="C37" s="16" t="s">
        <v>113</v>
      </c>
      <c r="D37" s="17" t="s">
        <v>120</v>
      </c>
      <c r="E37" s="16" t="n">
        <v>8</v>
      </c>
      <c r="F37" s="16" t="s">
        <v>11</v>
      </c>
      <c r="G37" s="17" t="s">
        <v>121</v>
      </c>
      <c r="H37" s="17" t="s">
        <v>122</v>
      </c>
    </row>
    <row r="38" customFormat="false" ht="60" hidden="false" customHeight="true" outlineLevel="0" collapsed="false">
      <c r="A38" s="16" t="n">
        <v>37</v>
      </c>
      <c r="B38" s="17" t="s">
        <v>112</v>
      </c>
      <c r="C38" s="16" t="s">
        <v>113</v>
      </c>
      <c r="D38" s="17" t="s">
        <v>123</v>
      </c>
      <c r="E38" s="16" t="n">
        <v>8</v>
      </c>
      <c r="F38" s="16" t="s">
        <v>11</v>
      </c>
      <c r="G38" s="17" t="s">
        <v>124</v>
      </c>
      <c r="H38" s="17" t="s">
        <v>125</v>
      </c>
    </row>
    <row r="39" customFormat="false" ht="60" hidden="false" customHeight="true" outlineLevel="0" collapsed="false">
      <c r="A39" s="16" t="n">
        <v>38</v>
      </c>
      <c r="B39" s="17" t="s">
        <v>112</v>
      </c>
      <c r="C39" s="16" t="s">
        <v>113</v>
      </c>
      <c r="D39" s="17" t="s">
        <v>126</v>
      </c>
      <c r="E39" s="16" t="n">
        <v>8</v>
      </c>
      <c r="F39" s="16" t="s">
        <v>11</v>
      </c>
      <c r="G39" s="17" t="s">
        <v>127</v>
      </c>
      <c r="H39" s="17" t="s">
        <v>128</v>
      </c>
    </row>
    <row r="40" customFormat="false" ht="60" hidden="false" customHeight="true" outlineLevel="0" collapsed="false">
      <c r="A40" s="16" t="n">
        <v>39</v>
      </c>
      <c r="B40" s="17" t="s">
        <v>112</v>
      </c>
      <c r="C40" s="16" t="s">
        <v>113</v>
      </c>
      <c r="D40" s="17" t="s">
        <v>129</v>
      </c>
      <c r="E40" s="16" t="n">
        <v>8</v>
      </c>
      <c r="F40" s="16" t="s">
        <v>11</v>
      </c>
      <c r="G40" s="17" t="s">
        <v>130</v>
      </c>
      <c r="H40" s="17" t="s">
        <v>131</v>
      </c>
    </row>
    <row r="41" customFormat="false" ht="60" hidden="false" customHeight="true" outlineLevel="0" collapsed="false">
      <c r="A41" s="16" t="n">
        <v>40</v>
      </c>
      <c r="B41" s="17" t="s">
        <v>112</v>
      </c>
      <c r="C41" s="16" t="s">
        <v>113</v>
      </c>
      <c r="D41" s="17" t="s">
        <v>132</v>
      </c>
      <c r="E41" s="16" t="n">
        <v>8</v>
      </c>
      <c r="F41" s="16" t="s">
        <v>11</v>
      </c>
      <c r="G41" s="17" t="s">
        <v>133</v>
      </c>
      <c r="H41" s="17" t="s">
        <v>134</v>
      </c>
    </row>
    <row r="42" customFormat="false" ht="60" hidden="false" customHeight="true" outlineLevel="0" collapsed="false">
      <c r="A42" s="16" t="n">
        <v>41</v>
      </c>
      <c r="B42" s="17" t="s">
        <v>112</v>
      </c>
      <c r="C42" s="16" t="s">
        <v>113</v>
      </c>
      <c r="D42" s="17" t="s">
        <v>135</v>
      </c>
      <c r="E42" s="16" t="n">
        <v>8</v>
      </c>
      <c r="F42" s="16" t="s">
        <v>11</v>
      </c>
      <c r="G42" s="17" t="s">
        <v>136</v>
      </c>
      <c r="H42" s="17" t="s">
        <v>137</v>
      </c>
    </row>
    <row r="43" customFormat="false" ht="60" hidden="false" customHeight="true" outlineLevel="0" collapsed="false">
      <c r="A43" s="16" t="n">
        <v>42</v>
      </c>
      <c r="B43" s="17" t="s">
        <v>112</v>
      </c>
      <c r="C43" s="16" t="s">
        <v>113</v>
      </c>
      <c r="D43" s="17" t="s">
        <v>138</v>
      </c>
      <c r="E43" s="16" t="n">
        <v>8</v>
      </c>
      <c r="F43" s="16" t="s">
        <v>11</v>
      </c>
      <c r="G43" s="17" t="s">
        <v>139</v>
      </c>
      <c r="H43" s="17" t="s">
        <v>140</v>
      </c>
    </row>
    <row r="44" customFormat="false" ht="60" hidden="false" customHeight="true" outlineLevel="0" collapsed="false">
      <c r="A44" s="16" t="n">
        <v>43</v>
      </c>
      <c r="B44" s="17" t="s">
        <v>112</v>
      </c>
      <c r="C44" s="16" t="s">
        <v>113</v>
      </c>
      <c r="D44" s="17" t="s">
        <v>141</v>
      </c>
      <c r="E44" s="16" t="n">
        <v>8</v>
      </c>
      <c r="F44" s="16" t="s">
        <v>11</v>
      </c>
      <c r="G44" s="17" t="s">
        <v>142</v>
      </c>
      <c r="H44" s="17" t="s">
        <v>143</v>
      </c>
    </row>
    <row r="45" customFormat="false" ht="60" hidden="false" customHeight="true" outlineLevel="0" collapsed="false">
      <c r="A45" s="18" t="n">
        <v>44</v>
      </c>
      <c r="B45" s="19" t="s">
        <v>144</v>
      </c>
      <c r="C45" s="18" t="s">
        <v>21</v>
      </c>
      <c r="D45" s="19" t="s">
        <v>145</v>
      </c>
      <c r="E45" s="18" t="n">
        <v>8</v>
      </c>
      <c r="F45" s="18" t="s">
        <v>11</v>
      </c>
      <c r="G45" s="19" t="s">
        <v>146</v>
      </c>
      <c r="H45" s="19" t="s">
        <v>147</v>
      </c>
    </row>
    <row r="46" customFormat="false" ht="60" hidden="false" customHeight="true" outlineLevel="0" collapsed="false">
      <c r="A46" s="18" t="n">
        <v>45</v>
      </c>
      <c r="B46" s="19" t="s">
        <v>144</v>
      </c>
      <c r="C46" s="18" t="s">
        <v>21</v>
      </c>
      <c r="D46" s="19" t="s">
        <v>148</v>
      </c>
      <c r="E46" s="18" t="n">
        <v>8</v>
      </c>
      <c r="F46" s="18" t="s">
        <v>11</v>
      </c>
      <c r="G46" s="19" t="s">
        <v>149</v>
      </c>
      <c r="H46" s="19" t="s">
        <v>150</v>
      </c>
    </row>
    <row r="47" customFormat="false" ht="60" hidden="false" customHeight="true" outlineLevel="0" collapsed="false">
      <c r="A47" s="18" t="n">
        <v>46</v>
      </c>
      <c r="B47" s="19" t="s">
        <v>144</v>
      </c>
      <c r="C47" s="18" t="s">
        <v>21</v>
      </c>
      <c r="D47" s="19" t="s">
        <v>151</v>
      </c>
      <c r="E47" s="18" t="n">
        <v>8</v>
      </c>
      <c r="F47" s="18" t="s">
        <v>11</v>
      </c>
      <c r="G47" s="19" t="s">
        <v>152</v>
      </c>
      <c r="H47" s="19" t="s">
        <v>153</v>
      </c>
    </row>
    <row r="48" customFormat="false" ht="60" hidden="false" customHeight="true" outlineLevel="0" collapsed="false">
      <c r="A48" s="18" t="n">
        <v>47</v>
      </c>
      <c r="B48" s="19" t="s">
        <v>144</v>
      </c>
      <c r="C48" s="18" t="s">
        <v>21</v>
      </c>
      <c r="D48" s="19" t="s">
        <v>154</v>
      </c>
      <c r="E48" s="18" t="n">
        <v>8</v>
      </c>
      <c r="F48" s="18" t="s">
        <v>11</v>
      </c>
      <c r="G48" s="19" t="s">
        <v>155</v>
      </c>
      <c r="H48" s="19" t="s">
        <v>156</v>
      </c>
    </row>
    <row r="49" customFormat="false" ht="60" hidden="false" customHeight="true" outlineLevel="0" collapsed="false">
      <c r="A49" s="18" t="n">
        <v>48</v>
      </c>
      <c r="B49" s="19" t="s">
        <v>144</v>
      </c>
      <c r="C49" s="18" t="s">
        <v>21</v>
      </c>
      <c r="D49" s="19" t="s">
        <v>157</v>
      </c>
      <c r="E49" s="18" t="n">
        <v>8</v>
      </c>
      <c r="F49" s="18" t="s">
        <v>11</v>
      </c>
      <c r="G49" s="19" t="s">
        <v>158</v>
      </c>
      <c r="H49" s="19" t="s">
        <v>159</v>
      </c>
    </row>
    <row r="50" customFormat="false" ht="60" hidden="false" customHeight="true" outlineLevel="0" collapsed="false">
      <c r="A50" s="18" t="n">
        <v>49</v>
      </c>
      <c r="B50" s="19" t="s">
        <v>144</v>
      </c>
      <c r="C50" s="18" t="s">
        <v>21</v>
      </c>
      <c r="D50" s="19" t="s">
        <v>160</v>
      </c>
      <c r="E50" s="18" t="n">
        <v>8</v>
      </c>
      <c r="F50" s="18" t="s">
        <v>11</v>
      </c>
      <c r="G50" s="19" t="s">
        <v>161</v>
      </c>
      <c r="H50" s="19" t="s">
        <v>60</v>
      </c>
    </row>
    <row r="51" customFormat="false" ht="60" hidden="false" customHeight="true" outlineLevel="0" collapsed="false">
      <c r="A51" s="20" t="n">
        <v>50</v>
      </c>
      <c r="B51" s="21" t="s">
        <v>162</v>
      </c>
      <c r="C51" s="20" t="s">
        <v>15</v>
      </c>
      <c r="D51" s="21" t="s">
        <v>163</v>
      </c>
      <c r="E51" s="20" t="n">
        <v>8</v>
      </c>
      <c r="F51" s="20" t="s">
        <v>11</v>
      </c>
      <c r="G51" s="21" t="s">
        <v>164</v>
      </c>
      <c r="H51" s="21" t="s">
        <v>165</v>
      </c>
    </row>
    <row r="52" customFormat="false" ht="60" hidden="false" customHeight="true" outlineLevel="0" collapsed="false">
      <c r="A52" s="20" t="n">
        <v>51</v>
      </c>
      <c r="B52" s="21" t="s">
        <v>162</v>
      </c>
      <c r="C52" s="20" t="s">
        <v>15</v>
      </c>
      <c r="D52" s="21" t="s">
        <v>166</v>
      </c>
      <c r="E52" s="20" t="n">
        <v>8</v>
      </c>
      <c r="F52" s="20" t="s">
        <v>11</v>
      </c>
      <c r="G52" s="21" t="s">
        <v>167</v>
      </c>
      <c r="H52" s="21" t="s">
        <v>168</v>
      </c>
    </row>
    <row r="53" customFormat="false" ht="60" hidden="false" customHeight="true" outlineLevel="0" collapsed="false">
      <c r="A53" s="20" t="n">
        <v>52</v>
      </c>
      <c r="B53" s="21" t="s">
        <v>162</v>
      </c>
      <c r="C53" s="20" t="s">
        <v>15</v>
      </c>
      <c r="D53" s="21" t="s">
        <v>169</v>
      </c>
      <c r="E53" s="20" t="n">
        <v>8</v>
      </c>
      <c r="F53" s="20" t="s">
        <v>11</v>
      </c>
      <c r="G53" s="21" t="s">
        <v>170</v>
      </c>
      <c r="H53" s="21" t="s">
        <v>171</v>
      </c>
    </row>
    <row r="54" customFormat="false" ht="60" hidden="false" customHeight="true" outlineLevel="0" collapsed="false">
      <c r="A54" s="20" t="n">
        <v>53</v>
      </c>
      <c r="B54" s="21" t="s">
        <v>162</v>
      </c>
      <c r="C54" s="20" t="s">
        <v>15</v>
      </c>
      <c r="D54" s="21" t="s">
        <v>172</v>
      </c>
      <c r="E54" s="20" t="n">
        <v>8</v>
      </c>
      <c r="F54" s="20" t="s">
        <v>11</v>
      </c>
      <c r="G54" s="21" t="s">
        <v>173</v>
      </c>
      <c r="H54" s="21" t="s">
        <v>174</v>
      </c>
    </row>
    <row r="55" customFormat="false" ht="60" hidden="false" customHeight="true" outlineLevel="0" collapsed="false">
      <c r="A55" s="20" t="n">
        <v>54</v>
      </c>
      <c r="B55" s="21" t="s">
        <v>162</v>
      </c>
      <c r="C55" s="20" t="s">
        <v>15</v>
      </c>
      <c r="D55" s="21" t="s">
        <v>175</v>
      </c>
      <c r="E55" s="20" t="n">
        <v>8</v>
      </c>
      <c r="F55" s="20" t="s">
        <v>11</v>
      </c>
      <c r="G55" s="21" t="s">
        <v>176</v>
      </c>
      <c r="H55" s="21" t="s">
        <v>177</v>
      </c>
    </row>
    <row r="56" customFormat="false" ht="60" hidden="false" customHeight="true" outlineLevel="0" collapsed="false">
      <c r="A56" s="20" t="n">
        <v>55</v>
      </c>
      <c r="B56" s="21" t="s">
        <v>162</v>
      </c>
      <c r="C56" s="20" t="s">
        <v>15</v>
      </c>
      <c r="D56" s="21" t="s">
        <v>178</v>
      </c>
      <c r="E56" s="20" t="n">
        <v>8</v>
      </c>
      <c r="F56" s="20" t="s">
        <v>11</v>
      </c>
      <c r="G56" s="21" t="s">
        <v>179</v>
      </c>
      <c r="H56" s="21" t="s">
        <v>180</v>
      </c>
    </row>
    <row r="57" customFormat="false" ht="60" hidden="false" customHeight="true" outlineLevel="0" collapsed="false">
      <c r="A57" s="20" t="n">
        <v>56</v>
      </c>
      <c r="B57" s="21" t="s">
        <v>162</v>
      </c>
      <c r="C57" s="20" t="s">
        <v>15</v>
      </c>
      <c r="D57" s="21" t="s">
        <v>181</v>
      </c>
      <c r="E57" s="20" t="n">
        <v>8</v>
      </c>
      <c r="F57" s="20" t="s">
        <v>11</v>
      </c>
      <c r="G57" s="21" t="s">
        <v>182</v>
      </c>
      <c r="H57" s="21" t="s">
        <v>183</v>
      </c>
    </row>
    <row r="58" customFormat="false" ht="60" hidden="false" customHeight="true" outlineLevel="0" collapsed="false">
      <c r="A58" s="20" t="n">
        <v>57</v>
      </c>
      <c r="B58" s="21" t="s">
        <v>162</v>
      </c>
      <c r="C58" s="20" t="s">
        <v>15</v>
      </c>
      <c r="D58" s="21" t="s">
        <v>184</v>
      </c>
      <c r="E58" s="20" t="n">
        <v>8</v>
      </c>
      <c r="F58" s="20" t="s">
        <v>11</v>
      </c>
      <c r="G58" s="21" t="s">
        <v>185</v>
      </c>
      <c r="H58" s="21" t="s">
        <v>186</v>
      </c>
    </row>
    <row r="59" customFormat="false" ht="60" hidden="false" customHeight="true" outlineLevel="0" collapsed="false">
      <c r="A59" s="20" t="n">
        <v>58</v>
      </c>
      <c r="B59" s="21" t="s">
        <v>162</v>
      </c>
      <c r="C59" s="20" t="s">
        <v>15</v>
      </c>
      <c r="D59" s="21" t="s">
        <v>187</v>
      </c>
      <c r="E59" s="20" t="n">
        <v>8</v>
      </c>
      <c r="F59" s="20" t="s">
        <v>11</v>
      </c>
      <c r="G59" s="21" t="s">
        <v>188</v>
      </c>
      <c r="H59" s="21" t="s">
        <v>189</v>
      </c>
    </row>
    <row r="60" customFormat="false" ht="60" hidden="false" customHeight="true" outlineLevel="0" collapsed="false">
      <c r="A60" s="20" t="n">
        <v>59</v>
      </c>
      <c r="B60" s="21" t="s">
        <v>162</v>
      </c>
      <c r="C60" s="20" t="s">
        <v>15</v>
      </c>
      <c r="D60" s="21" t="s">
        <v>190</v>
      </c>
      <c r="E60" s="20" t="n">
        <v>8</v>
      </c>
      <c r="F60" s="20" t="s">
        <v>11</v>
      </c>
      <c r="G60" s="21" t="s">
        <v>191</v>
      </c>
      <c r="H60" s="21" t="s">
        <v>192</v>
      </c>
    </row>
    <row r="61" customFormat="false" ht="60" hidden="false" customHeight="true" outlineLevel="0" collapsed="false">
      <c r="A61" s="22" t="n">
        <v>60</v>
      </c>
      <c r="B61" s="23" t="s">
        <v>193</v>
      </c>
      <c r="C61" s="22" t="s">
        <v>60</v>
      </c>
      <c r="D61" s="23" t="s">
        <v>194</v>
      </c>
      <c r="E61" s="22" t="n">
        <v>8</v>
      </c>
      <c r="F61" s="22" t="s">
        <v>11</v>
      </c>
      <c r="G61" s="23" t="s">
        <v>195</v>
      </c>
      <c r="H61" s="23" t="s">
        <v>60</v>
      </c>
    </row>
  </sheetData>
  <dataValidations count="1">
    <dataValidation allowBlank="false" errorStyle="stop" operator="between" showDropDown="false" showErrorMessage="false" showInputMessage="false" sqref="F2:F61" type="list">
      <formula1>"Pending,In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4" min="3" style="1" width="8"/>
    <col collapsed="false" customWidth="true" hidden="false" outlineLevel="0" max="5" min="5" style="1" width="18"/>
  </cols>
  <sheetData>
    <row r="1" customFormat="false" ht="26.25" hidden="false" customHeight="true" outlineLevel="0" collapsed="false">
      <c r="A1" s="2" t="s">
        <v>1</v>
      </c>
      <c r="B1" s="2" t="s">
        <v>2</v>
      </c>
      <c r="C1" s="2" t="s">
        <v>196</v>
      </c>
      <c r="D1" s="2" t="s">
        <v>4</v>
      </c>
      <c r="E1" s="2" t="s">
        <v>197</v>
      </c>
    </row>
    <row r="2" customFormat="false" ht="15" hidden="false" customHeight="true" outlineLevel="0" collapsed="false">
      <c r="A2" s="24" t="s">
        <v>198</v>
      </c>
      <c r="B2" s="25" t="s">
        <v>9</v>
      </c>
      <c r="C2" s="25" t="n">
        <v>1</v>
      </c>
      <c r="D2" s="25" t="n">
        <v>8</v>
      </c>
      <c r="E2" s="26" t="n">
        <f aca="false">D2/480</f>
        <v>0.0166666666666667</v>
      </c>
    </row>
    <row r="3" customFormat="false" ht="15" hidden="false" customHeight="true" outlineLevel="0" collapsed="false">
      <c r="A3" s="24" t="s">
        <v>199</v>
      </c>
      <c r="B3" s="25" t="s">
        <v>15</v>
      </c>
      <c r="C3" s="25" t="n">
        <v>8</v>
      </c>
      <c r="D3" s="25" t="n">
        <v>64</v>
      </c>
      <c r="E3" s="26" t="n">
        <f aca="false">D3/480</f>
        <v>0.133333333333333</v>
      </c>
    </row>
    <row r="4" customFormat="false" ht="15" hidden="false" customHeight="true" outlineLevel="0" collapsed="false">
      <c r="A4" s="24" t="s">
        <v>200</v>
      </c>
      <c r="B4" s="25" t="s">
        <v>9</v>
      </c>
      <c r="C4" s="25" t="n">
        <v>3</v>
      </c>
      <c r="D4" s="25" t="n">
        <v>24</v>
      </c>
      <c r="E4" s="26" t="n">
        <f aca="false">D4/480</f>
        <v>0.05</v>
      </c>
    </row>
    <row r="5" customFormat="false" ht="15" hidden="false" customHeight="true" outlineLevel="0" collapsed="false">
      <c r="A5" s="24" t="s">
        <v>201</v>
      </c>
      <c r="B5" s="25" t="s">
        <v>15</v>
      </c>
      <c r="C5" s="25" t="n">
        <v>3</v>
      </c>
      <c r="D5" s="25" t="n">
        <v>24</v>
      </c>
      <c r="E5" s="26" t="n">
        <f aca="false">D5/480</f>
        <v>0.05</v>
      </c>
    </row>
    <row r="6" customFormat="false" ht="15" hidden="false" customHeight="true" outlineLevel="0" collapsed="false">
      <c r="A6" s="24" t="s">
        <v>202</v>
      </c>
      <c r="B6" s="25" t="s">
        <v>203</v>
      </c>
      <c r="C6" s="25" t="n">
        <v>5</v>
      </c>
      <c r="D6" s="25" t="n">
        <v>40</v>
      </c>
      <c r="E6" s="26" t="n">
        <f aca="false">D6/480</f>
        <v>0.0833333333333333</v>
      </c>
    </row>
    <row r="7" customFormat="false" ht="15" hidden="false" customHeight="true" outlineLevel="0" collapsed="false">
      <c r="A7" s="24" t="s">
        <v>204</v>
      </c>
      <c r="B7" s="25" t="s">
        <v>15</v>
      </c>
      <c r="C7" s="25" t="n">
        <v>7</v>
      </c>
      <c r="D7" s="25" t="n">
        <v>56</v>
      </c>
      <c r="E7" s="26" t="n">
        <f aca="false">D7/480</f>
        <v>0.116666666666667</v>
      </c>
    </row>
    <row r="8" customFormat="false" ht="15" hidden="false" customHeight="true" outlineLevel="0" collapsed="false">
      <c r="A8" s="24" t="s">
        <v>205</v>
      </c>
      <c r="B8" s="25" t="s">
        <v>206</v>
      </c>
      <c r="C8" s="25" t="n">
        <v>6</v>
      </c>
      <c r="D8" s="25" t="n">
        <v>48</v>
      </c>
      <c r="E8" s="26" t="n">
        <f aca="false">D8/480</f>
        <v>0.1</v>
      </c>
    </row>
    <row r="9" customFormat="false" ht="15" hidden="false" customHeight="true" outlineLevel="0" collapsed="false">
      <c r="A9" s="24" t="s">
        <v>207</v>
      </c>
      <c r="B9" s="25" t="s">
        <v>208</v>
      </c>
      <c r="C9" s="25" t="n">
        <v>10</v>
      </c>
      <c r="D9" s="25" t="n">
        <v>80</v>
      </c>
      <c r="E9" s="26" t="n">
        <f aca="false">D9/480</f>
        <v>0.166666666666667</v>
      </c>
    </row>
    <row r="10" customFormat="false" ht="15" hidden="false" customHeight="true" outlineLevel="0" collapsed="false">
      <c r="A10" s="24" t="s">
        <v>209</v>
      </c>
      <c r="B10" s="25" t="s">
        <v>203</v>
      </c>
      <c r="C10" s="25" t="n">
        <v>6</v>
      </c>
      <c r="D10" s="25" t="n">
        <v>48</v>
      </c>
      <c r="E10" s="26" t="n">
        <f aca="false">D10/480</f>
        <v>0.1</v>
      </c>
    </row>
    <row r="11" customFormat="false" ht="15" hidden="false" customHeight="true" outlineLevel="0" collapsed="false">
      <c r="A11" s="24" t="s">
        <v>210</v>
      </c>
      <c r="B11" s="25" t="s">
        <v>15</v>
      </c>
      <c r="C11" s="25" t="n">
        <v>10</v>
      </c>
      <c r="D11" s="25" t="n">
        <v>80</v>
      </c>
      <c r="E11" s="26" t="n">
        <f aca="false">D11/480</f>
        <v>0.166666666666667</v>
      </c>
    </row>
    <row r="12" customFormat="false" ht="15" hidden="false" customHeight="true" outlineLevel="0" collapsed="false">
      <c r="A12" s="24" t="s">
        <v>193</v>
      </c>
      <c r="B12" s="25" t="s">
        <v>60</v>
      </c>
      <c r="C12" s="25" t="n">
        <v>1</v>
      </c>
      <c r="D12" s="25" t="n">
        <v>8</v>
      </c>
      <c r="E12" s="26" t="n">
        <f aca="false">D12/480</f>
        <v>0.0166666666666667</v>
      </c>
    </row>
    <row r="13" customFormat="false" ht="15" hidden="false" customHeight="true" outlineLevel="0" collapsed="false">
      <c r="A13" s="27" t="s">
        <v>211</v>
      </c>
      <c r="B13" s="28"/>
      <c r="C13" s="27" t="n">
        <f aca="false">SUM(C2:C12)</f>
        <v>60</v>
      </c>
      <c r="D13" s="27" t="n">
        <f aca="false">SUM(D2:D12)</f>
        <v>480</v>
      </c>
      <c r="E13" s="29" t="n">
        <f aca="false">D13/480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</cols>
  <sheetData>
    <row r="1" customFormat="false" ht="17.25" hidden="false" customHeight="true" outlineLevel="0" collapsed="false">
      <c r="A1" s="30" t="s">
        <v>212</v>
      </c>
      <c r="B1" s="30"/>
    </row>
    <row r="2" customFormat="false" ht="15" hidden="false" customHeight="true" outlineLevel="0" collapsed="false">
      <c r="A2" s="31" t="s">
        <v>213</v>
      </c>
      <c r="B2" s="32" t="n">
        <v>60</v>
      </c>
    </row>
    <row r="3" customFormat="false" ht="15" hidden="false" customHeight="true" outlineLevel="0" collapsed="false">
      <c r="A3" s="31" t="s">
        <v>214</v>
      </c>
      <c r="B3" s="32" t="n">
        <f aca="false">COUNTIF('60-Day Plan'!F2:F61,"Done")</f>
        <v>0</v>
      </c>
    </row>
    <row r="4" customFormat="false" ht="15" hidden="false" customHeight="true" outlineLevel="0" collapsed="false">
      <c r="A4" s="31" t="s">
        <v>215</v>
      </c>
      <c r="B4" s="32" t="n">
        <f aca="false">COUNTIF('60-Day Plan'!F2:F61,"In Progress")</f>
        <v>0</v>
      </c>
    </row>
    <row r="5" customFormat="false" ht="15" hidden="false" customHeight="true" outlineLevel="0" collapsed="false">
      <c r="A5" s="31" t="s">
        <v>216</v>
      </c>
      <c r="B5" s="32" t="n">
        <f aca="false">COUNTIF('60-Day Plan'!F2:F61,"Pending")</f>
        <v>60</v>
      </c>
    </row>
    <row r="6" customFormat="false" ht="15" hidden="false" customHeight="true" outlineLevel="0" collapsed="false">
      <c r="A6" s="31" t="s">
        <v>217</v>
      </c>
      <c r="B6" s="33" t="n">
        <f aca="false">B3/B2</f>
        <v>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2026-08-29T18:33:36Z</dcterms:created>
  <dc:creator>openpyxl</dc:creator>
  <dc:description/>
  <dc:language>en-US</dc:language>
  <cp:lastModifiedBy/>
  <dcterms:modified xsi:type="dcterms:W3CDTF">2026-08-30T05:34:27Z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